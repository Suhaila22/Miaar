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سجل الحضو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<sst xmlns="http://schemas.openxmlformats.org/spreadsheetml/2006/main" count="29" uniqueCount="29">
  <si>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الأمسية</t>
  </si>
  <si>
    <t xml:space="preserve">التاريخ</t>
  </si>
  <si>
    <t xml:space="preserve">عدد المسجَّلين</t>
  </si>
  <si>
    <t xml:space="preserve">عدد الحاضرين</t>
  </si>
  <si>
    <t xml:space="preserve">نسبة الحضور</t>
  </si>
  <si>
    <t xml:space="preserve">شهادات ممنوحة</t>
  </si>
  <si>
    <t xml:space="preserve">التميز المؤسسي: من الرؤية إلى التطبيق</t>
  </si>
  <si>
    <t xml:space="preserve">10/02/2025</t>
  </si>
  <si>
    <t xml:space="preserve">الاستراتيجية الرشيقة في القطاع الحكومي</t>
  </si>
  <si>
    <t xml:space="preserve">05/03/2025</t>
  </si>
  <si>
    <t xml:space="preserve">تجربة المتعامل: قياس الأثر لا الرضا فقط</t>
  </si>
  <si>
    <t xml:space="preserve">02/04/2025</t>
  </si>
  <si>
    <t xml:space="preserve">الابتكار المؤسسي: من الفكرة إلى الأثر</t>
  </si>
  <si>
    <t xml:space="preserve">14/05/2025</t>
  </si>
  <si>
    <t xml:space="preserve">الجودة الشاملة ومعايير التميز EFQM</t>
  </si>
  <si>
    <t xml:space="preserve">11/06/2025</t>
  </si>
  <si>
    <t xml:space="preserve">الاستدامة كأولوية استراتيجية</t>
  </si>
  <si>
    <t xml:space="preserve">09/07/2025</t>
  </si>
  <si>
    <t xml:space="preserve">قياس الأداء المؤسسي بمؤشرات ذكية</t>
  </si>
  <si>
    <t xml:space="preserve">03/09/2025</t>
  </si>
  <si>
    <t xml:space="preserve">القيادة التحويلية في بيئات التميز</t>
  </si>
  <si>
    <t xml:space="preserve">08/10/2025</t>
  </si>
  <si>
    <t xml:space="preserve">إدارة التغيير في رحلة التميز المؤسسي</t>
  </si>
  <si>
    <t xml:space="preserve">12/11/2025</t>
  </si>
  <si>
    <t xml:space="preserve">استشراف المستقبل: التميز والذكاء الاصطناعي</t>
  </si>
  <si>
    <t xml:space="preserve">10/12/2025</t>
  </si>
  <si>
    <t xml:space="preserve">ملتقى ختامي: قصص نجاح من الميدان</t>
  </si>
  <si>
    <t xml:space="preserve">14/01/2026</t>
  </si>
  <si>
    <t xml:space="preserve">الإجمالي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</si>
</sst>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14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1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n">
        <v>42</v>
      </c>
      <c r="D2" s="2" t="n">
        <v>35</v>
      </c>
      <c r="E2" s="3" t="n">
        <f aca="false">D2/C2</f>
        <v>0.833333333333333</v>
      </c>
      <c r="F2" s="2" t="n">
        <f aca="false">D2</f>
        <v>35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n">
        <v>40</v>
      </c>
      <c r="D3" s="2" t="n">
        <v>33</v>
      </c>
      <c r="E3" s="3" t="n">
        <f aca="false">D3/C3</f>
        <v>0.825</v>
      </c>
      <c r="F3" s="2" t="n">
        <f aca="false">D3</f>
        <v>33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n">
        <v>48</v>
      </c>
      <c r="D4" s="2" t="n">
        <v>41</v>
      </c>
      <c r="E4" s="3" t="n">
        <f aca="false">D4/C4</f>
        <v>0.854166666666667</v>
      </c>
      <c r="F4" s="2" t="n">
        <f aca="false">D4</f>
        <v>41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n">
        <v>39</v>
      </c>
      <c r="D5" s="2" t="n">
        <v>30</v>
      </c>
      <c r="E5" s="3" t="n">
        <f aca="false">D5/C5</f>
        <v>0.769230769230769</v>
      </c>
      <c r="F5" s="2" t="n">
        <f aca="false">D5</f>
        <v>30</v>
      </c>
    </row>
    <row r="6" customFormat="false" ht="15" hidden="false" customHeight="false" outlineLevel="0" collapsed="false">
      <c r="A6" s="2" t="s">
        <v>14</v>
      </c>
      <c r="B6" s="2" t="s">
        <v>15</v>
      </c>
      <c r="C6" s="2" t="n">
        <v>45</v>
      </c>
      <c r="D6" s="2" t="n">
        <v>38</v>
      </c>
      <c r="E6" s="3" t="n">
        <f aca="false">D6/C6</f>
        <v>0.844444444444444</v>
      </c>
      <c r="F6" s="2" t="n">
        <f aca="false">D6</f>
        <v>38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n">
        <v>33</v>
      </c>
      <c r="D7" s="2" t="n">
        <v>27</v>
      </c>
      <c r="E7" s="3" t="n">
        <f aca="false">D7/C7</f>
        <v>0.818181818181818</v>
      </c>
      <c r="F7" s="2" t="n">
        <f aca="false">D7</f>
        <v>27</v>
      </c>
    </row>
    <row r="8" customFormat="false" ht="15" hidden="false" customHeight="false" outlineLevel="0" collapsed="false">
      <c r="A8" s="2" t="s">
        <v>18</v>
      </c>
      <c r="B8" s="2" t="s">
        <v>19</v>
      </c>
      <c r="C8" s="2" t="n">
        <v>44</v>
      </c>
      <c r="D8" s="2" t="n">
        <v>36</v>
      </c>
      <c r="E8" s="3" t="n">
        <f aca="false">D8/C8</f>
        <v>0.818181818181818</v>
      </c>
      <c r="F8" s="2" t="n">
        <f aca="false">D8</f>
        <v>36</v>
      </c>
    </row>
    <row r="9" customFormat="false" ht="15" hidden="false" customHeight="false" outlineLevel="0" collapsed="false">
      <c r="A9" s="2" t="s">
        <v>20</v>
      </c>
      <c r="B9" s="2" t="s">
        <v>21</v>
      </c>
      <c r="C9" s="2" t="n">
        <v>50</v>
      </c>
      <c r="D9" s="2" t="n">
        <v>44</v>
      </c>
      <c r="E9" s="3" t="n">
        <f aca="false">D9/C9</f>
        <v>0.88</v>
      </c>
      <c r="F9" s="2" t="n">
        <f aca="false">D9</f>
        <v>44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2" t="n">
        <v>41</v>
      </c>
      <c r="D10" s="2" t="n">
        <v>34</v>
      </c>
      <c r="E10" s="3" t="n">
        <f aca="false">D10/C10</f>
        <v>0.829268292682927</v>
      </c>
      <c r="F10" s="2" t="n">
        <f aca="false">D10</f>
        <v>34</v>
      </c>
    </row>
    <row r="11" customFormat="false" ht="15" hidden="false" customHeight="false" outlineLevel="0" collapsed="false">
      <c r="A11" s="2" t="s">
        <v>24</v>
      </c>
      <c r="B11" s="2" t="s">
        <v>25</v>
      </c>
      <c r="C11" s="2" t="n">
        <v>55</v>
      </c>
      <c r="D11" s="2" t="n">
        <v>47</v>
      </c>
      <c r="E11" s="3" t="n">
        <f aca="false">D11/C11</f>
        <v>0.854545454545455</v>
      </c>
      <c r="F11" s="2" t="n">
        <f aca="false">D11</f>
        <v>47</v>
      </c>
    </row>
    <row r="12" customFormat="false" ht="15" hidden="false" customHeight="false" outlineLevel="0" collapsed="false">
      <c r="A12" s="2" t="s">
        <v>26</v>
      </c>
      <c r="B12" s="2" t="s">
        <v>27</v>
      </c>
      <c r="C12" s="2" t="n">
        <v>46</v>
      </c>
      <c r="D12" s="2" t="n">
        <v>39</v>
      </c>
      <c r="E12" s="3" t="n">
        <f aca="false">D12/C12</f>
        <v>0.847826086956522</v>
      </c>
      <c r="F12" s="2" t="n">
        <f aca="false">D12</f>
        <v>39</v>
      </c>
    </row>
    <row r="13" customFormat="false" ht="15" hidden="false" customHeight="false" outlineLevel="0" collapsed="false">
      <c r="A13" s="2" t="s">
        <v>28</v>
      </c>
      <c r="B13" s="2"/>
      <c r="C13" s="2" t="n">
        <f aca="false">SUM(C2:C12)</f>
        <v>483</v>
      </c>
      <c r="D13" s="2" t="n">
        <f aca="false">SUM(D2:D12)</f>
        <v>404</v>
      </c>
      <c r="E13" s="3" t="n">
        <f aca="false">D13/C13</f>
        <v>0.836438923395445</v>
      </c>
      <c r="F13" s="2" t="n">
        <f aca="false">SUM(F2:F12)</f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2026-08-05T16:29:30Z</dcterms:created>
  <dc:creator>openpyxl</dc:creator>
  <dc:description/>
  <dc:language>en-US</dc:language>
  <cp:lastModifiedBy/>
  <dcterms:modified xsi:type="dcterms:W3CDTF">2026-08-05T16:29:30Z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